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Porter User\Downloads\"/>
    </mc:Choice>
  </mc:AlternateContent>
  <bookViews>
    <workbookView xWindow="0" yWindow="0" windowWidth="19200" windowHeight="7050" tabRatio="849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19" l="1"/>
  <c r="C22" i="19"/>
  <c r="D21" i="19"/>
  <c r="D20" i="19"/>
  <c r="D19" i="19"/>
  <c r="D18" i="19"/>
  <c r="D17" i="19"/>
  <c r="D16" i="19"/>
  <c r="D15" i="19"/>
  <c r="D14" i="19"/>
  <c r="D13" i="19"/>
  <c r="D12" i="19"/>
  <c r="E16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54" i="16"/>
  <c r="F16" i="16"/>
  <c r="B16" i="16"/>
  <c r="C16" i="16"/>
  <c r="D16" i="16"/>
  <c r="B17" i="16"/>
  <c r="C17" i="16"/>
  <c r="D17" i="16"/>
  <c r="E17" i="16"/>
  <c r="B18" i="16"/>
  <c r="C18" i="16"/>
  <c r="D18" i="16"/>
  <c r="E18" i="16"/>
  <c r="B19" i="16"/>
  <c r="C19" i="16"/>
  <c r="D19" i="16"/>
  <c r="E19" i="16"/>
  <c r="B20" i="16"/>
  <c r="C20" i="16"/>
  <c r="D20" i="16"/>
  <c r="E20" i="16"/>
  <c r="B21" i="16"/>
  <c r="C21" i="16"/>
  <c r="D21" i="16"/>
  <c r="E21" i="16"/>
  <c r="B22" i="16"/>
  <c r="C22" i="16"/>
  <c r="D22" i="16"/>
  <c r="E22" i="16"/>
  <c r="B23" i="16"/>
  <c r="C23" i="16"/>
  <c r="D23" i="16"/>
  <c r="E23" i="16"/>
  <c r="B24" i="16"/>
  <c r="C24" i="16"/>
  <c r="D24" i="16"/>
  <c r="E24" i="16"/>
  <c r="B25" i="16"/>
  <c r="C25" i="16"/>
  <c r="D25" i="16"/>
  <c r="E25" i="16"/>
  <c r="B26" i="16"/>
  <c r="C26" i="16"/>
  <c r="D26" i="16"/>
  <c r="E26" i="16"/>
  <c r="B27" i="16"/>
  <c r="C27" i="16"/>
  <c r="D27" i="16"/>
  <c r="E27" i="16"/>
  <c r="B28" i="16"/>
  <c r="C28" i="16"/>
  <c r="D28" i="16"/>
  <c r="E28" i="16"/>
  <c r="B29" i="16"/>
  <c r="C29" i="16"/>
  <c r="D29" i="16"/>
  <c r="E29" i="16"/>
  <c r="B30" i="16"/>
  <c r="C30" i="16"/>
  <c r="D30" i="16"/>
  <c r="E30" i="16"/>
  <c r="B31" i="16"/>
  <c r="C31" i="16"/>
  <c r="D31" i="16"/>
  <c r="E31" i="16"/>
  <c r="B32" i="16"/>
  <c r="C32" i="16"/>
  <c r="D32" i="16"/>
  <c r="E32" i="16"/>
  <c r="B33" i="16"/>
  <c r="C33" i="16"/>
  <c r="D33" i="16"/>
  <c r="E33" i="16"/>
  <c r="B34" i="16"/>
  <c r="C34" i="16"/>
  <c r="D34" i="16"/>
  <c r="E34" i="16"/>
  <c r="B35" i="16"/>
  <c r="C35" i="16"/>
  <c r="D35" i="16"/>
  <c r="E35" i="16"/>
  <c r="B36" i="16"/>
  <c r="C36" i="16"/>
  <c r="D36" i="16"/>
  <c r="E36" i="16"/>
  <c r="B37" i="16"/>
  <c r="C37" i="16"/>
  <c r="D37" i="16"/>
  <c r="E37" i="16"/>
  <c r="B38" i="16"/>
  <c r="C38" i="16"/>
  <c r="D38" i="16"/>
  <c r="E38" i="16"/>
  <c r="B39" i="16"/>
  <c r="C39" i="16"/>
  <c r="D39" i="16"/>
  <c r="E39" i="16"/>
  <c r="B40" i="16"/>
  <c r="C40" i="16"/>
  <c r="D40" i="16"/>
  <c r="E40" i="16"/>
  <c r="B41" i="16"/>
  <c r="C41" i="16"/>
  <c r="D41" i="16"/>
  <c r="E41" i="16"/>
  <c r="B42" i="16"/>
  <c r="C42" i="16"/>
  <c r="D42" i="16"/>
  <c r="E42" i="16"/>
  <c r="B43" i="16"/>
  <c r="C43" i="16"/>
  <c r="D43" i="16"/>
  <c r="E43" i="16"/>
  <c r="B44" i="16"/>
  <c r="C44" i="16"/>
  <c r="D44" i="16"/>
  <c r="E44" i="16"/>
  <c r="B45" i="16"/>
  <c r="C45" i="16"/>
  <c r="D45" i="16"/>
  <c r="E45" i="16"/>
  <c r="B46" i="16"/>
  <c r="C46" i="16"/>
  <c r="D46" i="16"/>
  <c r="E46" i="16"/>
  <c r="B47" i="16"/>
  <c r="C47" i="16"/>
  <c r="D47" i="16"/>
  <c r="E47" i="16"/>
  <c r="B48" i="16"/>
  <c r="C48" i="16"/>
  <c r="D48" i="16"/>
  <c r="E48" i="16"/>
  <c r="B49" i="16"/>
  <c r="C49" i="16"/>
  <c r="D49" i="16"/>
  <c r="E49" i="16"/>
  <c r="B50" i="16"/>
  <c r="C50" i="16"/>
  <c r="D50" i="16"/>
  <c r="E50" i="16"/>
  <c r="B51" i="16"/>
  <c r="C51" i="16"/>
  <c r="D51" i="16"/>
  <c r="E51" i="16"/>
  <c r="B52" i="16"/>
  <c r="C52" i="16"/>
  <c r="D52" i="16"/>
  <c r="E52" i="16"/>
  <c r="B53" i="16"/>
  <c r="C53" i="16"/>
  <c r="D53" i="16"/>
  <c r="E53" i="16"/>
  <c r="B54" i="16"/>
  <c r="C54" i="16"/>
  <c r="D54" i="16"/>
  <c r="E54" i="16"/>
  <c r="F30" i="18"/>
  <c r="E30" i="18"/>
  <c r="D30" i="18"/>
  <c r="C30" i="18"/>
  <c r="B30" i="18"/>
  <c r="F29" i="18"/>
  <c r="E29" i="18"/>
  <c r="D29" i="18"/>
  <c r="C29" i="18"/>
  <c r="B29" i="18"/>
  <c r="C28" i="18"/>
  <c r="F28" i="18"/>
  <c r="E28" i="18"/>
  <c r="D28" i="18"/>
  <c r="B28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27" i="18"/>
  <c r="F6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27" i="18"/>
  <c r="E6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27" i="18"/>
  <c r="D6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27" i="18"/>
  <c r="C6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H41" i="15"/>
  <c r="H41" i="1"/>
</calcChain>
</file>

<file path=xl/sharedStrings.xml><?xml version="1.0" encoding="utf-8"?>
<sst xmlns="http://schemas.openxmlformats.org/spreadsheetml/2006/main" count="325" uniqueCount="179">
  <si>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</si>
  <si>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</si>
  <si>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</si>
  <si>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</si>
  <si>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</si>
  <si>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</si>
  <si>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</si>
  <si>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</si>
  <si>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</si>
  <si>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</si>
  <si>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</si>
  <si>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</si>
  <si>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</si>
  <si>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</si>
  <si>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</si>
  <si>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</si>
  <si>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</si>
  <si>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</si>
  <si>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</si>
  <si>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</si>
  <si>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</si>
  <si>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</si>
  <si>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</si>
  <si>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</si>
  <si>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</si>
  <si>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</si>
  <si>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</si>
  <si>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</si>
  <si>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</si>
  <si>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</si>
  <si>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</si>
  <si>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</si>
  <si>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</si>
  <si>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</si>
  <si>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</si>
  <si>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</si>
  <si>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</si>
  <si>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</si>
  <si>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</si>
  <si>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</si>
  <si>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</si>
  <si>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</si>
  <si>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</si>
  <si>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</si>
  <si>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</si>
  <si>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</si>
  <si>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</si>
  <si>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</si>
  <si>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</si>
  <si>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</si>
  <si>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</si>
  <si>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</si>
  <si>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</si>
  <si>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</si>
  <si>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</si>
  <si>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</si>
  <si>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</si>
  <si>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</si>
  <si>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</si>
  <si>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</si>
  <si>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</si>
  <si>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</si>
  <si>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</si>
  <si>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</si>
  <si>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</si>
  <si>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</si>
  <si>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</si>
  <si>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</si>
  <si>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</si>
  <si>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</si>
  <si>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</si>
  <si>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</si>
  <si>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</si>
  <si>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</si>
  <si>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</si>
  <si>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</si>
  <si>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</si>
  <si>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</si>
  <si>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</si>
  <si>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</si>
  <si>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</si>
  <si>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</si>
  <si>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</si>
  <si>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</si>
  <si>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</si>
  <si>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</si>
  <si>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</si>
  <si>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</si>
  <si>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</si>
  <si>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</si>
  <si>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</si>
  <si>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</si>
  <si>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</si>
  <si>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</si>
  <si>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</si>
  <si>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</si>
  <si>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</si>
  <si>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</si>
  <si>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</si>
  <si>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</si>
  <si>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</si>
  <si>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</si>
  <si>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</si>
  <si>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</si>
  <si>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</si>
  <si>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</si>
  <si>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</si>
  <si>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</si>
  <si>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</si>
  <si>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</si>
  <si>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</si>
  <si>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</si>
  <si>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</si>
  <si>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</si>
  <si>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</si>
  <si>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</si>
  <si>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</si>
  <si>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</si>
  <si>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</si>
  <si>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</si>
  <si>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</si>
  <si>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</si>
  <si>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</si>
  <si>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</si>
  <si>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</si>
  <si>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</si>
  <si>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</si>
  <si>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</si>
  <si>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</si>
  <si>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</si>
  <si>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</si>
  <si>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</si>
  <si>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</si>
  <si>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</si>
  <si>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</si>
  <si>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</si>
  <si>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</si>
  <si>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</si>
  <si>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</si>
  <si>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</si>
  <si>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</si>
  <si>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</si>
  <si>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</si>
  <si>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</si>
  <si>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</si>
  <si>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</si>
  <si>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</si>
  <si>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</si>
  <si>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</si>
  <si>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</si>
  <si>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</si>
  <si>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</si>
  <si>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</si>
  <si>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</si>
  <si>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</si>
  <si>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</si>
  <si>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</si>
  <si>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</si>
  <si>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</si>
  <si>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</si>
  <si>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</si>
  <si>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</si>
  <si>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</si>
  <si>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</si>
  <si>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</si>
  <si>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</si>
  <si>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</si>
  <si>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</si>
  <si>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</si>
  <si>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</si>
  <si>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</si>
  <si>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</si>
  <si>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</si>
  <si>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</si>
  <si>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</si>
  <si>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</si>
  <si>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</si>
  <si>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SUMIF(H2:H40,"&gt;20")</t>
  </si>
  <si>
    <t>IF(ISNA(C15), 20, C15)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</si>
</sst>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h:mm:ss;@"/>
    <numFmt numFmtId="165" formatCode="yyyy\-mm\-dd;@"/>
  </numFmts>
  <fonts count="2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indexed="18"/>
      <name val="Times New Roman"/>
      <family val="1"/>
    </font>
    <font>
      <b/>
      <sz val="11"/>
      <color indexed="9"/>
      <name val="Times New Roman"/>
      <family val="1"/>
    </font>
    <font>
      <b/>
      <sz val="10"/>
      <color indexed="8"/>
      <name val="Times New Roman"/>
      <family val="1"/>
    </font>
    <font>
      <b/>
      <i/>
      <sz val="9"/>
      <color indexed="9"/>
      <name val="Times New Roman"/>
      <family val="1"/>
    </font>
    <font>
      <sz val="12"/>
      <color rgb="FF00000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sz val="12"/>
      <color rgb="FF00000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indexed="18"/>
        <bgColor indexed="24"/>
      </patternFill>
    </fill>
    <fill>
      <patternFill patternType="solid">
        <fgColor indexed="9"/>
        <bgColor indexed="2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6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17" fillId="0" borderId="0" xfId="0" applyFont="1"/>
    <xf numFmtId="0" fontId="18" fillId="0" borderId="0" xfId="0" applyFont="1"/>
    <xf numFmtId="0" fontId="19" fillId="0" borderId="0" xfId="0" applyFont="1"/>
    <xf numFmtId="165" fontId="7" fillId="0" borderId="0" xfId="0" applyNumberFormat="1" applyFont="1"/>
    <xf numFmtId="165" fontId="3" fillId="0" borderId="0" xfId="0" applyNumberFormat="1" applyFont="1"/>
    <xf numFmtId="2" fontId="3" fillId="5" borderId="1" xfId="0" applyNumberFormat="1" applyFont="1" applyFill="1" applyBorder="1"/>
    <xf numFmtId="165" fontId="21" fillId="7" borderId="1" xfId="0" applyNumberFormat="1" applyFont="1" applyFill="1" applyBorder="1" applyAlignment="1">
      <alignment horizontal="center"/>
    </xf>
    <xf numFmtId="0" fontId="21" fillId="7" borderId="1" xfId="0" applyFont="1" applyFill="1" applyBorder="1" applyAlignment="1">
      <alignment horizontal="center"/>
    </xf>
    <xf numFmtId="0" fontId="23" fillId="7" borderId="1" xfId="0" applyFont="1" applyFill="1" applyBorder="1" applyAlignment="1">
      <alignment horizontal="center"/>
    </xf>
    <xf numFmtId="165" fontId="22" fillId="6" borderId="1" xfId="0" applyNumberFormat="1" applyFont="1" applyFill="1" applyBorder="1" applyAlignment="1">
      <alignment horizontal="center"/>
    </xf>
    <xf numFmtId="0" fontId="22" fillId="6" borderId="1" xfId="0" applyFont="1" applyFill="1" applyBorder="1" applyAlignment="1">
      <alignment horizontal="center"/>
    </xf>
    <xf numFmtId="0" fontId="20" fillId="6" borderId="1" xfId="0" applyFont="1" applyFill="1" applyBorder="1" applyAlignment="1">
      <alignment horizontal="center"/>
    </xf>
    <xf numFmtId="0" fontId="22" fillId="8" borderId="1" xfId="0" applyFont="1" applyFill="1" applyBorder="1" applyAlignment="1">
      <alignment horizontal="center"/>
    </xf>
    <xf numFmtId="0" fontId="20" fillId="8" borderId="1" xfId="0" applyFont="1" applyFill="1" applyBorder="1" applyAlignment="1">
      <alignment horizontal="center"/>
    </xf>
    <xf numFmtId="0" fontId="24" fillId="0" borderId="0" xfId="0" applyFont="1"/>
    <xf numFmtId="0" fontId="24" fillId="0" borderId="8" xfId="0" applyFont="1" applyBorder="1"/>
    <xf numFmtId="0" fontId="24" fillId="0" borderId="1" xfId="0" applyFont="1" applyBorder="1"/>
    <xf numFmtId="0" fontId="24" fillId="0" borderId="9" xfId="0" applyFont="1" applyBorder="1"/>
    <xf numFmtId="0" fontId="24" fillId="0" borderId="2" xfId="0" applyFont="1" applyBorder="1"/>
    <xf numFmtId="0" fontId="24" fillId="0" borderId="6" xfId="0" applyFont="1" applyBorder="1"/>
    <xf numFmtId="0" fontId="24" fillId="0" borderId="4" xfId="0" applyFont="1" applyBorder="1"/>
    <xf numFmtId="0" fontId="25" fillId="0" borderId="0" xfId="1" applyFont="1"/>
    <xf numFmtId="0" fontId="26" fillId="0" borderId="0" xfId="0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tabSelected="1" zoomScaleNormal="100" workbookViewId="0">
      <selection activeCell="B14" sqref="B14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5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2" t="s">
        <v>171</v>
      </c>
      <c r="B9" s="24" t="s">
        <v>169</v>
      </c>
    </row>
    <row r="10" spans="1:3" x14ac:dyDescent="0.3">
      <c r="A10" s="31" t="s">
        <v>172</v>
      </c>
      <c r="B10" s="33">
        <v>25</v>
      </c>
    </row>
    <row r="11" spans="1:3" x14ac:dyDescent="0.3">
      <c r="A11" s="31" t="s">
        <v>55</v>
      </c>
      <c r="B11" s="33">
        <v>30</v>
      </c>
    </row>
    <row r="12" spans="1:3" x14ac:dyDescent="0.3">
      <c r="A12" s="31" t="s">
        <v>56</v>
      </c>
      <c r="B12" s="33">
        <v>10</v>
      </c>
    </row>
    <row r="13" spans="1:3" x14ac:dyDescent="0.3">
      <c r="A13" s="31" t="s">
        <v>85</v>
      </c>
      <c r="B13" s="33">
        <v>20</v>
      </c>
    </row>
    <row r="14" spans="1:3" x14ac:dyDescent="0.3">
      <c r="A14" s="31" t="s">
        <v>98</v>
      </c>
      <c r="B14" s="33">
        <v>40</v>
      </c>
    </row>
    <row r="15" spans="1:3" x14ac:dyDescent="0.3">
      <c r="A15" s="34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zoomScaleNormal="100" workbookViewId="0">
      <pane ySplit="1" topLeftCell="A23" activePane="bottomLeft" state="frozen"/>
      <selection pane="bottomLeft" activeCell="X1" sqref="X1:X1048576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2" customWidth="1"/>
    <col min="5" max="5" width="9.19921875" style="1" bestFit="1" customWidth="1"/>
    <col min="6" max="6" width="10.3984375" style="22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4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41">
        <v>-1</v>
      </c>
      <c r="K2" s="41">
        <v>-1</v>
      </c>
      <c r="L2" s="4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41">
        <v>-1</v>
      </c>
      <c r="K3" s="41">
        <v>-1</v>
      </c>
      <c r="L3" s="4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41">
        <v>-1</v>
      </c>
      <c r="K4" s="41">
        <v>-1</v>
      </c>
      <c r="L4" s="4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41">
        <v>-1</v>
      </c>
      <c r="K5" s="41">
        <v>-1</v>
      </c>
      <c r="L5" s="4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41">
        <v>-1</v>
      </c>
      <c r="K6" s="41">
        <v>-1</v>
      </c>
      <c r="L6" s="4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41">
        <v>-1</v>
      </c>
      <c r="K7" s="41">
        <v>-1</v>
      </c>
      <c r="L7" s="4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41">
        <v>-1</v>
      </c>
      <c r="K8" s="41">
        <v>-1</v>
      </c>
      <c r="L8" s="4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41">
        <v>-1</v>
      </c>
      <c r="K9" s="41">
        <v>-1</v>
      </c>
      <c r="L9" s="4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41">
        <v>-1</v>
      </c>
      <c r="K10" s="41">
        <v>-1</v>
      </c>
      <c r="L10" s="4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41">
        <v>-1</v>
      </c>
      <c r="K11" s="41">
        <v>-1</v>
      </c>
      <c r="L11" s="4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42">
        <v>0</v>
      </c>
      <c r="H12" s="42">
        <v>0</v>
      </c>
      <c r="I12" s="42">
        <v>0</v>
      </c>
      <c r="J12" s="42">
        <v>0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  <c r="P12" s="42">
        <v>0</v>
      </c>
      <c r="Q12" s="42">
        <v>0</v>
      </c>
      <c r="R12" s="42">
        <v>0</v>
      </c>
      <c r="S12" s="42">
        <v>0</v>
      </c>
      <c r="T12" s="42">
        <v>0</v>
      </c>
      <c r="U12" s="42">
        <v>0</v>
      </c>
      <c r="V12" s="42">
        <v>0</v>
      </c>
      <c r="W12" s="42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41">
        <v>-1</v>
      </c>
      <c r="K13" s="41">
        <v>-1</v>
      </c>
      <c r="L13" s="4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41">
        <v>-1</v>
      </c>
      <c r="K14" s="41">
        <v>-1</v>
      </c>
      <c r="L14" s="4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41">
        <v>-1</v>
      </c>
      <c r="K15" s="41">
        <v>-1</v>
      </c>
      <c r="L15" s="4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41">
        <v>-1</v>
      </c>
      <c r="K16" s="41">
        <v>-1</v>
      </c>
      <c r="L16" s="4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41">
        <v>-1</v>
      </c>
      <c r="K17" s="41">
        <v>-1</v>
      </c>
      <c r="L17" s="4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41">
        <v>-1</v>
      </c>
      <c r="K18" s="41">
        <v>-1</v>
      </c>
      <c r="L18" s="4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41">
        <v>-1</v>
      </c>
      <c r="K19" s="41">
        <v>-1</v>
      </c>
      <c r="L19" s="4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41">
        <v>-1</v>
      </c>
      <c r="K20" s="41">
        <v>-1</v>
      </c>
      <c r="L20" s="4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41">
        <v>-1</v>
      </c>
      <c r="K21" s="41">
        <v>-1</v>
      </c>
      <c r="L21" s="4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41">
        <v>-1</v>
      </c>
      <c r="K22" s="41">
        <v>-1</v>
      </c>
      <c r="L22" s="4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41">
        <v>-1</v>
      </c>
      <c r="K23" s="41">
        <v>-1</v>
      </c>
      <c r="L23" s="4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41">
        <v>-1</v>
      </c>
      <c r="K24" s="41">
        <v>-1</v>
      </c>
      <c r="L24" s="4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41">
        <v>-1</v>
      </c>
      <c r="K25" s="41">
        <v>-1</v>
      </c>
      <c r="L25" s="4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42">
        <v>0</v>
      </c>
      <c r="H26" s="42">
        <v>0</v>
      </c>
      <c r="I26" s="42">
        <v>0</v>
      </c>
      <c r="J26" s="42">
        <v>0</v>
      </c>
      <c r="K26" s="42">
        <v>0</v>
      </c>
      <c r="L26" s="42">
        <v>0</v>
      </c>
      <c r="M26" s="42">
        <v>0</v>
      </c>
      <c r="N26" s="42">
        <v>0</v>
      </c>
      <c r="O26" s="42">
        <v>0</v>
      </c>
      <c r="P26" s="42">
        <v>0</v>
      </c>
      <c r="Q26" s="42">
        <v>0</v>
      </c>
      <c r="R26" s="42">
        <v>0</v>
      </c>
      <c r="S26" s="42">
        <v>0</v>
      </c>
      <c r="T26" s="42">
        <v>0</v>
      </c>
      <c r="U26" s="42">
        <v>0</v>
      </c>
      <c r="V26" s="42">
        <v>0</v>
      </c>
      <c r="W26" s="42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41">
        <v>-1</v>
      </c>
      <c r="K27" s="41">
        <v>-1</v>
      </c>
      <c r="L27" s="4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41">
        <v>-1</v>
      </c>
      <c r="K28" s="41">
        <v>-1</v>
      </c>
      <c r="L28" s="4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41">
        <v>-1</v>
      </c>
      <c r="K29" s="41">
        <v>-1</v>
      </c>
      <c r="L29" s="4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41">
        <v>-1</v>
      </c>
      <c r="K30" s="41">
        <v>-1</v>
      </c>
      <c r="L30" s="4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41">
        <v>-1</v>
      </c>
      <c r="K31" s="41">
        <v>-1</v>
      </c>
      <c r="L31" s="4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41">
        <v>-1</v>
      </c>
      <c r="K32" s="41">
        <v>-1</v>
      </c>
      <c r="L32" s="4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41">
        <v>-1</v>
      </c>
      <c r="K33" s="41">
        <v>-1</v>
      </c>
      <c r="L33" s="4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41">
        <v>-1</v>
      </c>
      <c r="K34" s="41">
        <v>-1</v>
      </c>
      <c r="L34" s="4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41">
        <v>-1</v>
      </c>
      <c r="K35" s="41">
        <v>-1</v>
      </c>
      <c r="L35" s="4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41">
        <v>-1</v>
      </c>
      <c r="K36" s="41">
        <v>-1</v>
      </c>
      <c r="L36" s="4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41">
        <v>-1</v>
      </c>
      <c r="K37" s="41">
        <v>-1</v>
      </c>
      <c r="L37" s="4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41">
        <v>-1</v>
      </c>
      <c r="K38" s="41">
        <v>-1</v>
      </c>
      <c r="L38" s="4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41">
        <v>-1</v>
      </c>
      <c r="K39" s="41">
        <v>-1</v>
      </c>
      <c r="L39" s="4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41">
        <v>-1</v>
      </c>
      <c r="K40" s="41">
        <v>-1</v>
      </c>
      <c r="L40" s="4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5">
      <c r="H41" s="1">
        <f>SUMIF(H2:H40,"&gt;20")</f>
        <v>1473.0000000000002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zoomScaleNormal="100" workbookViewId="0">
      <selection activeCell="C6" sqref="C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43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  <row r="41" spans="8:8" x14ac:dyDescent="0.35">
      <c r="H41" s="1" t="b">
        <f>Task_1!C5=SUMIF(H2:H40,"&gt;20")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3" zoomScaleNormal="100" workbookViewId="0">
      <selection activeCell="B7" sqref="B7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7" customFormat="1" ht="21" x14ac:dyDescent="0.5">
      <c r="A1" s="38" t="s">
        <v>55</v>
      </c>
      <c r="B1" s="37" t="s">
        <v>164</v>
      </c>
    </row>
    <row r="2" spans="1:7" s="37" customFormat="1" ht="21" x14ac:dyDescent="0.5">
      <c r="B2" s="37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6" t="s">
        <v>162</v>
      </c>
      <c r="B4" s="1"/>
      <c r="C4" s="1"/>
      <c r="D4" s="1"/>
      <c r="E4" s="1"/>
      <c r="F4" s="1"/>
      <c r="G4" s="1"/>
    </row>
    <row r="5" spans="1:7" ht="14.5" x14ac:dyDescent="0.3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5" x14ac:dyDescent="0.35">
      <c r="A6" s="7" t="s">
        <v>40</v>
      </c>
      <c r="B6" s="11">
        <f>IFERROR(VLOOKUP($A6,Dataset!$A:G,7,0),0)</f>
        <v>2.7</v>
      </c>
      <c r="C6" s="11">
        <f>IFERROR(VLOOKUP($A6,Dataset!$A:N,14,0),0)</f>
        <v>7.6</v>
      </c>
      <c r="D6" s="11">
        <f>IFERROR(VLOOKUP(A6,Dataset!A:R,18,0),0)</f>
        <v>4.2</v>
      </c>
      <c r="E6" s="11">
        <f>IFERROR(VLOOKUP(A6,Dataset!A:T,20,0),0)</f>
        <v>8.9</v>
      </c>
      <c r="F6" s="8">
        <f>IFERROR(VLOOKUP(A6,Dataset!A:V,22,0),0)</f>
        <v>4.2</v>
      </c>
    </row>
    <row r="7" spans="1:7" ht="14.5" x14ac:dyDescent="0.35">
      <c r="A7" s="7" t="s">
        <v>4</v>
      </c>
      <c r="B7" s="11">
        <f>IFERROR(VLOOKUP($A7,Dataset!$A:G,7,0),0)</f>
        <v>2.7</v>
      </c>
      <c r="C7" s="11">
        <f>IFERROR(VLOOKUP($A7,Dataset!$A:N,14,0),0)</f>
        <v>7.6</v>
      </c>
      <c r="D7" s="11">
        <f>IFERROR(VLOOKUP(A7,Dataset!A:R,18,0),0)</f>
        <v>4.2</v>
      </c>
      <c r="E7" s="11">
        <f>IFERROR(VLOOKUP(A7,Dataset!A:T,20,0),0)</f>
        <v>8.9</v>
      </c>
      <c r="F7" s="8">
        <f>IFERROR(VLOOKUP(A7,Dataset!A:V,22,0),0)</f>
        <v>4.2</v>
      </c>
    </row>
    <row r="8" spans="1:7" ht="14.5" x14ac:dyDescent="0.35">
      <c r="A8" s="7" t="s">
        <v>7</v>
      </c>
      <c r="B8" s="11">
        <f>IFERROR(VLOOKUP($A8,Dataset!$A:G,7,0),0)</f>
        <v>3.6</v>
      </c>
      <c r="C8" s="11">
        <f>IFERROR(VLOOKUP($A8,Dataset!$A:N,14,0),0)</f>
        <v>11.1</v>
      </c>
      <c r="D8" s="11">
        <f>IFERROR(VLOOKUP(A8,Dataset!A:R,18,0),0)</f>
        <v>5.8</v>
      </c>
      <c r="E8" s="11">
        <f>IFERROR(VLOOKUP(A8,Dataset!A:T,20,0),0)</f>
        <v>12.2</v>
      </c>
      <c r="F8" s="8">
        <f>IFERROR(VLOOKUP(A8,Dataset!A:V,22,0),0)</f>
        <v>5.8</v>
      </c>
    </row>
    <row r="9" spans="1:7" ht="14.5" x14ac:dyDescent="0.35">
      <c r="A9" s="7" t="s">
        <v>8</v>
      </c>
      <c r="B9" s="11">
        <f>IFERROR(VLOOKUP($A9,Dataset!$A:G,7,0),0)</f>
        <v>4.9000000000000004</v>
      </c>
      <c r="C9" s="11">
        <f>IFERROR(VLOOKUP($A9,Dataset!$A:N,14,0),0)</f>
        <v>13.3</v>
      </c>
      <c r="D9" s="11">
        <f>IFERROR(VLOOKUP(A9,Dataset!A:R,18,0),0)</f>
        <v>8.1</v>
      </c>
      <c r="E9" s="11">
        <f>IFERROR(VLOOKUP(A9,Dataset!A:T,20,0),0)</f>
        <v>17</v>
      </c>
      <c r="F9" s="8">
        <f>IFERROR(VLOOKUP(A9,Dataset!A:V,22,0),0)</f>
        <v>8.1</v>
      </c>
    </row>
    <row r="10" spans="1:7" ht="14.5" x14ac:dyDescent="0.35">
      <c r="A10" s="7" t="s">
        <v>11</v>
      </c>
      <c r="B10" s="11">
        <f>IFERROR(VLOOKUP($A10,Dataset!$A:G,7,0),0)</f>
        <v>9.4</v>
      </c>
      <c r="C10" s="11">
        <f>IFERROR(VLOOKUP($A10,Dataset!$A:N,14,0),0)</f>
        <v>28.3</v>
      </c>
      <c r="D10" s="11">
        <f>IFERROR(VLOOKUP(A10,Dataset!A:R,18,0),0)</f>
        <v>16.100000000000001</v>
      </c>
      <c r="E10" s="11">
        <f>IFERROR(VLOOKUP(A10,Dataset!A:T,20,0),0)</f>
        <v>32.799999999999997</v>
      </c>
      <c r="F10" s="8">
        <f>IFERROR(VLOOKUP(A10,Dataset!A:V,22,0),0)</f>
        <v>16.100000000000001</v>
      </c>
    </row>
    <row r="11" spans="1:7" ht="14.5" x14ac:dyDescent="0.35">
      <c r="A11" s="7" t="s">
        <v>12</v>
      </c>
      <c r="B11" s="11">
        <f>IFERROR(VLOOKUP($A11,Dataset!$A:G,7,0),0)</f>
        <v>11.6</v>
      </c>
      <c r="C11" s="11">
        <f>IFERROR(VLOOKUP($A11,Dataset!$A:N,14,0),0)</f>
        <v>35.200000000000003</v>
      </c>
      <c r="D11" s="11">
        <f>IFERROR(VLOOKUP(A11,Dataset!A:R,18,0),0)</f>
        <v>21.3</v>
      </c>
      <c r="E11" s="11">
        <f>IFERROR(VLOOKUP(A11,Dataset!A:T,20,0),0)</f>
        <v>43</v>
      </c>
      <c r="F11" s="8">
        <f>IFERROR(VLOOKUP(A11,Dataset!A:V,22,0),0)</f>
        <v>21.3</v>
      </c>
    </row>
    <row r="12" spans="1:7" ht="14.5" x14ac:dyDescent="0.35">
      <c r="A12" s="7" t="s">
        <v>14</v>
      </c>
      <c r="B12" s="11">
        <f>IFERROR(VLOOKUP($A12,Dataset!$A:G,7,0),0)</f>
        <v>18.399999999999999</v>
      </c>
      <c r="C12" s="11">
        <f>IFERROR(VLOOKUP($A12,Dataset!$A:N,14,0),0)</f>
        <v>55.6</v>
      </c>
      <c r="D12" s="11">
        <f>IFERROR(VLOOKUP(A12,Dataset!A:R,18,0),0)</f>
        <v>33.799999999999997</v>
      </c>
      <c r="E12" s="11">
        <f>IFERROR(VLOOKUP(A12,Dataset!A:T,20,0),0)</f>
        <v>67.900000000000006</v>
      </c>
      <c r="F12" s="8">
        <f>IFERROR(VLOOKUP(A12,Dataset!A:V,22,0),0)</f>
        <v>33.799999999999997</v>
      </c>
    </row>
    <row r="13" spans="1:7" ht="14.5" x14ac:dyDescent="0.35">
      <c r="A13" s="7" t="s">
        <v>15</v>
      </c>
      <c r="B13" s="11">
        <f>IFERROR(VLOOKUP($A13,Dataset!$A:G,7,0),0)</f>
        <v>0</v>
      </c>
      <c r="C13" s="11">
        <f>IFERROR(VLOOKUP($A13,Dataset!$A:N,14,0),0)</f>
        <v>0</v>
      </c>
      <c r="D13" s="11">
        <f>IFERROR(VLOOKUP(A13,Dataset!A:R,18,0),0)</f>
        <v>0</v>
      </c>
      <c r="E13" s="11">
        <f>IFERROR(VLOOKUP(A13,Dataset!A:T,20,0),0)</f>
        <v>0</v>
      </c>
      <c r="F13" s="8">
        <f>IFERROR(VLOOKUP(A13,Dataset!A:V,22,0),0)</f>
        <v>0</v>
      </c>
    </row>
    <row r="14" spans="1:7" ht="14.5" x14ac:dyDescent="0.35">
      <c r="A14" s="7" t="s">
        <v>16</v>
      </c>
      <c r="B14" s="11">
        <f>IFERROR(VLOOKUP($A14,Dataset!$A:G,7,0),0)</f>
        <v>21.9</v>
      </c>
      <c r="C14" s="11">
        <f>IFERROR(VLOOKUP($A14,Dataset!$A:N,14,0),0)</f>
        <v>61.5</v>
      </c>
      <c r="D14" s="11">
        <f>IFERROR(VLOOKUP(A14,Dataset!A:R,18,0),0)</f>
        <v>40.1</v>
      </c>
      <c r="E14" s="11">
        <f>IFERROR(VLOOKUP(A14,Dataset!A:T,20,0),0)</f>
        <v>76.599999999999994</v>
      </c>
      <c r="F14" s="8">
        <f>IFERROR(VLOOKUP(A14,Dataset!A:V,22,0),0)</f>
        <v>40.1</v>
      </c>
    </row>
    <row r="15" spans="1:7" ht="14.5" x14ac:dyDescent="0.35">
      <c r="A15" s="7" t="s">
        <v>18</v>
      </c>
      <c r="B15" s="11">
        <f>IFERROR(VLOOKUP($A15,Dataset!$A:G,7,0),0)</f>
        <v>26.8</v>
      </c>
      <c r="C15" s="11">
        <f>IFERROR(VLOOKUP($A15,Dataset!$A:N,14,0),0)</f>
        <v>79.599999999999994</v>
      </c>
      <c r="D15" s="11">
        <f>IFERROR(VLOOKUP(A15,Dataset!A:R,18,0),0)</f>
        <v>47.9</v>
      </c>
      <c r="E15" s="11">
        <f>IFERROR(VLOOKUP(A15,Dataset!A:T,20,0),0)</f>
        <v>96.8</v>
      </c>
      <c r="F15" s="8">
        <f>IFERROR(VLOOKUP(A15,Dataset!A:V,22,0),0)</f>
        <v>47.9</v>
      </c>
    </row>
    <row r="16" spans="1:7" ht="14.5" x14ac:dyDescent="0.35">
      <c r="A16" s="7" t="s">
        <v>20</v>
      </c>
      <c r="B16" s="11">
        <f>IFERROR(VLOOKUP($A16,Dataset!$A:G,7,0),0)</f>
        <v>28.5</v>
      </c>
      <c r="C16" s="11">
        <f>IFERROR(VLOOKUP($A16,Dataset!$A:N,14,0),0)</f>
        <v>85.4</v>
      </c>
      <c r="D16" s="11">
        <f>IFERROR(VLOOKUP(A16,Dataset!A:R,18,0),0)</f>
        <v>52.3</v>
      </c>
      <c r="E16" s="11">
        <f>IFERROR(VLOOKUP(A16,Dataset!A:T,20,0),0)</f>
        <v>106.1</v>
      </c>
      <c r="F16" s="8">
        <f>IFERROR(VLOOKUP(A16,Dataset!A:V,22,0),0)</f>
        <v>52.3</v>
      </c>
    </row>
    <row r="17" spans="1:6" ht="14.5" x14ac:dyDescent="0.35">
      <c r="A17" s="7" t="s">
        <v>22</v>
      </c>
      <c r="B17" s="11">
        <f>IFERROR(VLOOKUP($A17,Dataset!$A:G,7,0),0)</f>
        <v>30.7</v>
      </c>
      <c r="C17" s="11">
        <f>IFERROR(VLOOKUP($A17,Dataset!$A:N,14,0),0)</f>
        <v>92.1</v>
      </c>
      <c r="D17" s="11">
        <f>IFERROR(VLOOKUP(A17,Dataset!A:R,18,0),0)</f>
        <v>57</v>
      </c>
      <c r="E17" s="11">
        <f>IFERROR(VLOOKUP(A17,Dataset!A:T,20,0),0)</f>
        <v>115.1</v>
      </c>
      <c r="F17" s="8">
        <f>IFERROR(VLOOKUP(A17,Dataset!A:V,22,0),0)</f>
        <v>57</v>
      </c>
    </row>
    <row r="18" spans="1:6" ht="14.5" x14ac:dyDescent="0.35">
      <c r="A18" s="7" t="s">
        <v>23</v>
      </c>
      <c r="B18" s="11">
        <f>IFERROR(VLOOKUP($A18,Dataset!$A:G,7,0),0)</f>
        <v>33.799999999999997</v>
      </c>
      <c r="C18" s="11">
        <f>IFERROR(VLOOKUP($A18,Dataset!$A:N,14,0),0)</f>
        <v>101.3</v>
      </c>
      <c r="D18" s="11">
        <f>IFERROR(VLOOKUP(A18,Dataset!A:R,18,0),0)</f>
        <v>61.4</v>
      </c>
      <c r="E18" s="11">
        <f>IFERROR(VLOOKUP(A18,Dataset!A:T,20,0),0)</f>
        <v>124.4</v>
      </c>
      <c r="F18" s="8">
        <f>IFERROR(VLOOKUP(A18,Dataset!A:V,22,0),0)</f>
        <v>61.4</v>
      </c>
    </row>
    <row r="19" spans="1:6" ht="14.5" x14ac:dyDescent="0.35">
      <c r="A19" s="7" t="s">
        <v>24</v>
      </c>
      <c r="B19" s="11">
        <f>IFERROR(VLOOKUP($A19,Dataset!$A:G,7,0),0)</f>
        <v>34.700000000000003</v>
      </c>
      <c r="C19" s="11">
        <f>IFERROR(VLOOKUP($A19,Dataset!$A:N,14,0),0)</f>
        <v>106.1</v>
      </c>
      <c r="D19" s="11">
        <f>IFERROR(VLOOKUP(A19,Dataset!A:R,18,0),0)</f>
        <v>63.6</v>
      </c>
      <c r="E19" s="11">
        <f>IFERROR(VLOOKUP(A19,Dataset!A:T,20,0),0)</f>
        <v>128.6</v>
      </c>
      <c r="F19" s="8">
        <f>IFERROR(VLOOKUP(A19,Dataset!A:V,22,0),0)</f>
        <v>63.6</v>
      </c>
    </row>
    <row r="20" spans="1:6" ht="14.5" x14ac:dyDescent="0.35">
      <c r="A20" s="7" t="s">
        <v>28</v>
      </c>
      <c r="B20" s="11">
        <f>IFERROR(VLOOKUP($A20,Dataset!$A:G,7,0),0)</f>
        <v>0</v>
      </c>
      <c r="C20" s="11">
        <f>IFERROR(VLOOKUP($A20,Dataset!$A:N,14,0),0)</f>
        <v>0</v>
      </c>
      <c r="D20" s="11">
        <f>IFERROR(VLOOKUP(A20,Dataset!A:R,18,0),0)</f>
        <v>0</v>
      </c>
      <c r="E20" s="11">
        <f>IFERROR(VLOOKUP(A20,Dataset!A:T,20,0),0)</f>
        <v>0</v>
      </c>
      <c r="F20" s="8">
        <f>IFERROR(VLOOKUP(A20,Dataset!A:V,22,0),0)</f>
        <v>0</v>
      </c>
    </row>
    <row r="21" spans="1:6" ht="14.5" x14ac:dyDescent="0.35">
      <c r="A21" s="7" t="s">
        <v>57</v>
      </c>
      <c r="B21" s="11">
        <f>IFERROR(VLOOKUP($A21,Dataset!$A:G,7,0),0)</f>
        <v>41.3</v>
      </c>
      <c r="C21" s="11">
        <f>IFERROR(VLOOKUP($A21,Dataset!$A:N,14,0),0)</f>
        <v>124.4</v>
      </c>
      <c r="D21" s="11">
        <f>IFERROR(VLOOKUP(A21,Dataset!A:R,18,0),0)</f>
        <v>75</v>
      </c>
      <c r="E21" s="11">
        <f>IFERROR(VLOOKUP(A21,Dataset!A:T,20,0),0)</f>
        <v>151.5</v>
      </c>
      <c r="F21" s="8">
        <f>IFERROR(VLOOKUP(A21,Dataset!A:V,22,0),0)</f>
        <v>75</v>
      </c>
    </row>
    <row r="22" spans="1:6" ht="14.5" x14ac:dyDescent="0.35">
      <c r="A22" s="7" t="s">
        <v>58</v>
      </c>
      <c r="B22" s="11">
        <f>IFERROR(VLOOKUP($A22,Dataset!$A:G,7,0),0)</f>
        <v>-1</v>
      </c>
      <c r="C22" s="11">
        <f>IFERROR(VLOOKUP($A22,Dataset!$A:N,14,0),0)</f>
        <v>-1</v>
      </c>
      <c r="D22" s="11">
        <f>IFERROR(VLOOKUP(A22,Dataset!A:R,18,0),0)</f>
        <v>-1</v>
      </c>
      <c r="E22" s="11">
        <f>IFERROR(VLOOKUP(A22,Dataset!A:T,20,0),0)</f>
        <v>-1</v>
      </c>
      <c r="F22" s="8">
        <f>IFERROR(VLOOKUP(A22,Dataset!A:V,22,0),0)</f>
        <v>-1</v>
      </c>
    </row>
    <row r="23" spans="1:6" ht="14.5" x14ac:dyDescent="0.35">
      <c r="A23" s="7" t="s">
        <v>31</v>
      </c>
      <c r="B23" s="11">
        <f>IFERROR(VLOOKUP($A23,Dataset!$A:G,7,0),0)</f>
        <v>45</v>
      </c>
      <c r="C23" s="11">
        <f>IFERROR(VLOOKUP($A23,Dataset!$A:N,14,0),0)</f>
        <v>133.4</v>
      </c>
      <c r="D23" s="11">
        <f>IFERROR(VLOOKUP(A23,Dataset!A:R,18,0),0)</f>
        <v>79.400000000000006</v>
      </c>
      <c r="E23" s="11">
        <f>IFERROR(VLOOKUP(A23,Dataset!A:T,20,0),0)</f>
        <v>160.9</v>
      </c>
      <c r="F23" s="8">
        <f>IFERROR(VLOOKUP(A23,Dataset!A:V,22,0),0)</f>
        <v>79.400000000000006</v>
      </c>
    </row>
    <row r="24" spans="1:6" ht="14.5" x14ac:dyDescent="0.35">
      <c r="A24" s="7" t="s">
        <v>32</v>
      </c>
      <c r="B24" s="11">
        <f>IFERROR(VLOOKUP($A24,Dataset!$A:G,7,0),0)</f>
        <v>-1</v>
      </c>
      <c r="C24" s="11">
        <f>IFERROR(VLOOKUP($A24,Dataset!$A:N,14,0),0)</f>
        <v>-1</v>
      </c>
      <c r="D24" s="11">
        <f>IFERROR(VLOOKUP(A24,Dataset!A:R,18,0),0)</f>
        <v>-1</v>
      </c>
      <c r="E24" s="11">
        <f>IFERROR(VLOOKUP(A24,Dataset!A:T,20,0),0)</f>
        <v>-1</v>
      </c>
      <c r="F24" s="8">
        <f>IFERROR(VLOOKUP(A24,Dataset!A:V,22,0),0)</f>
        <v>-1</v>
      </c>
    </row>
    <row r="25" spans="1:6" ht="14.5" x14ac:dyDescent="0.35">
      <c r="A25" s="7" t="s">
        <v>34</v>
      </c>
      <c r="B25" s="11">
        <f>IFERROR(VLOOKUP($A25,Dataset!$A:G,7,0),0)</f>
        <v>43.3</v>
      </c>
      <c r="C25" s="11">
        <f>IFERROR(VLOOKUP($A25,Dataset!$A:N,14,0),0)</f>
        <v>128.6</v>
      </c>
      <c r="D25" s="11">
        <f>IFERROR(VLOOKUP(A25,Dataset!A:R,18,0),0)</f>
        <v>79.400000000000006</v>
      </c>
      <c r="E25" s="11">
        <f>IFERROR(VLOOKUP(A25,Dataset!A:T,20,0),0)</f>
        <v>160.9</v>
      </c>
      <c r="F25" s="8">
        <f>IFERROR(VLOOKUP(A25,Dataset!A:V,22,0),0)</f>
        <v>79.400000000000006</v>
      </c>
    </row>
    <row r="26" spans="1:6" ht="14.5" x14ac:dyDescent="0.35">
      <c r="A26" s="7" t="s">
        <v>37</v>
      </c>
      <c r="B26" s="11">
        <f>IFERROR(VLOOKUP($A26,Dataset!$A:G,7,0),0)</f>
        <v>49.1</v>
      </c>
      <c r="C26" s="11">
        <f>IFERROR(VLOOKUP($A26,Dataset!$A:N,14,0),0)</f>
        <v>146.80000000000001</v>
      </c>
      <c r="D26" s="11">
        <f>IFERROR(VLOOKUP(A26,Dataset!A:R,18,0),0)</f>
        <v>90.9</v>
      </c>
      <c r="E26" s="11">
        <f>IFERROR(VLOOKUP(A26,Dataset!A:T,20,0),0)</f>
        <v>183.5</v>
      </c>
      <c r="F26" s="8">
        <f>IFERROR(VLOOKUP(A26,Dataset!A:V,22,0),0)</f>
        <v>90.9</v>
      </c>
    </row>
    <row r="27" spans="1:6" ht="14.5" x14ac:dyDescent="0.35">
      <c r="A27" s="7" t="s">
        <v>39</v>
      </c>
      <c r="B27" s="11">
        <f>IFERROR(VLOOKUP($A27,Dataset!$A:G,7,0),0)</f>
        <v>51.8</v>
      </c>
      <c r="C27" s="11">
        <f>IFERROR(VLOOKUP($A27,Dataset!$A:N,14,0),0)</f>
        <v>156.4</v>
      </c>
      <c r="D27" s="11">
        <f>IFERROR(VLOOKUP(A27,Dataset!A:R,18,0),0)</f>
        <v>93.1</v>
      </c>
      <c r="E27" s="11">
        <f>IFERROR(VLOOKUP(A27,Dataset!A:T,20,0),0)</f>
        <v>188.1</v>
      </c>
      <c r="F27" s="8">
        <f>IFERROR(VLOOKUP(A27,Dataset!A:V,22,0),0)</f>
        <v>93.1</v>
      </c>
    </row>
    <row r="28" spans="1:6" ht="14.5" x14ac:dyDescent="0.35">
      <c r="A28" s="17" t="s">
        <v>82</v>
      </c>
      <c r="B28" s="29">
        <f>MIN(B6:B27)</f>
        <v>-1</v>
      </c>
      <c r="C28" s="29">
        <f>MIN(C6:C27)</f>
        <v>-1</v>
      </c>
      <c r="D28" s="29">
        <f t="shared" ref="C28:F28" si="0">MIN(D6:D27)</f>
        <v>-1</v>
      </c>
      <c r="E28" s="29">
        <f t="shared" si="0"/>
        <v>-1</v>
      </c>
      <c r="F28" s="29">
        <f t="shared" si="0"/>
        <v>-1</v>
      </c>
    </row>
    <row r="29" spans="1:6" ht="14.5" x14ac:dyDescent="0.35">
      <c r="A29" s="17" t="s">
        <v>83</v>
      </c>
      <c r="B29" s="29">
        <f>MAX(B6:B27)</f>
        <v>51.8</v>
      </c>
      <c r="C29" s="29">
        <f t="shared" ref="C29:F29" si="1">MAX(C6:C27)</f>
        <v>156.4</v>
      </c>
      <c r="D29" s="29">
        <f t="shared" si="1"/>
        <v>93.1</v>
      </c>
      <c r="E29" s="29">
        <f t="shared" si="1"/>
        <v>188.1</v>
      </c>
      <c r="F29" s="29">
        <f t="shared" si="1"/>
        <v>93.1</v>
      </c>
    </row>
    <row r="30" spans="1:6" ht="14.5" x14ac:dyDescent="0.35">
      <c r="A30" s="17" t="s">
        <v>84</v>
      </c>
      <c r="B30" s="46">
        <f>AVERAGE(B6:B27)</f>
        <v>20.827272727272728</v>
      </c>
      <c r="C30" s="46">
        <f t="shared" ref="C30:F30" si="2">AVERAGE(C6:C27)</f>
        <v>62.377272727272725</v>
      </c>
      <c r="D30" s="46">
        <f t="shared" si="2"/>
        <v>37.800000000000004</v>
      </c>
      <c r="E30" s="46">
        <f t="shared" si="2"/>
        <v>76.418181818181822</v>
      </c>
      <c r="F30" s="46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21" zoomScale="80" zoomScaleNormal="80" workbookViewId="0">
      <selection activeCell="C33" sqref="C33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7" customFormat="1" ht="21" x14ac:dyDescent="0.5">
      <c r="A1" s="38" t="s">
        <v>56</v>
      </c>
      <c r="B1" s="37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39" t="s">
        <v>53</v>
      </c>
      <c r="B5" s="36"/>
    </row>
    <row r="6" spans="1:10" ht="18.5" x14ac:dyDescent="0.45">
      <c r="A6" s="39" t="s">
        <v>153</v>
      </c>
      <c r="B6" s="36"/>
    </row>
    <row r="7" spans="1:10" ht="18.5" x14ac:dyDescent="0.45">
      <c r="A7" s="39"/>
      <c r="B7" s="36"/>
    </row>
    <row r="9" spans="1:10" ht="23.5" x14ac:dyDescent="0.55000000000000004">
      <c r="A9" s="16" t="s">
        <v>165</v>
      </c>
      <c r="I9" s="2"/>
      <c r="J9" s="2"/>
    </row>
    <row r="10" spans="1:10" x14ac:dyDescent="0.35">
      <c r="A10" s="30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15.5" x14ac:dyDescent="0.35">
      <c r="A14" s="62" t="s">
        <v>162</v>
      </c>
      <c r="B14" s="55"/>
      <c r="C14" s="55"/>
      <c r="D14" s="55"/>
      <c r="E14" s="55"/>
      <c r="F14" s="55"/>
    </row>
    <row r="15" spans="1:10" ht="15.5" x14ac:dyDescent="0.35">
      <c r="A15" s="56" t="s">
        <v>103</v>
      </c>
      <c r="B15" s="57" t="s">
        <v>49</v>
      </c>
      <c r="C15" s="58" t="s">
        <v>50</v>
      </c>
      <c r="D15" s="57" t="s">
        <v>51</v>
      </c>
      <c r="E15" s="58" t="s">
        <v>52</v>
      </c>
      <c r="F15" s="57" t="s">
        <v>54</v>
      </c>
    </row>
    <row r="16" spans="1:10" ht="17.5" x14ac:dyDescent="0.45">
      <c r="A16" s="59" t="s">
        <v>121</v>
      </c>
      <c r="B16" s="63" t="str">
        <f>LEFT($A16, FIND("-", $A16) - 1)</f>
        <v>20000</v>
      </c>
      <c r="C16" s="63" t="str">
        <f>MID(A16, FIND("-", A16) + 1, FIND("-", A16, FIND("-", A16) + 1) - FIND("-", A16) - 1)</f>
        <v>Monday</v>
      </c>
      <c r="D16" s="60" t="str">
        <f>MID($A16, FIND("-",$A16, FIND("-",$A16) + 1) + 1, FIND("-", $A16, FIND("-", $A16, FIND("-", $A16) + 1) + 1) - FIND("-", $A16, FIND("-", $A16) + 1) - 1)</f>
        <v>0</v>
      </c>
      <c r="E16" s="63" t="str">
        <f>MID($A16, FIND("-",$A16, FIND("-",$A16) + 1) + 1, FIND("-", $A16, FIND("-", $A16, FIND("-", $A16) + 1) + 2) - FIND("-", $A16, FIND("-", $A16) + 1) - 2)</f>
        <v/>
      </c>
      <c r="F16" s="63" t="str">
        <f>RIGHT($A16, FIND("-", $A16) - 4)</f>
        <v>24</v>
      </c>
    </row>
    <row r="17" spans="1:6" ht="17.5" x14ac:dyDescent="0.45">
      <c r="A17" s="59" t="s">
        <v>122</v>
      </c>
      <c r="B17" s="63" t="str">
        <f t="shared" ref="B17:B54" si="0">LEFT($A17, FIND("-", $A17) - 1)</f>
        <v>20002</v>
      </c>
      <c r="C17" s="63" t="str">
        <f t="shared" ref="C17:C54" si="1">MID(A17, FIND("-", A17) + 1, FIND("-", A17, FIND("-", A17) + 1) - FIND("-", A17) - 1)</f>
        <v>Monday</v>
      </c>
      <c r="D17" s="60" t="str">
        <f t="shared" ref="D17:D54" si="2">MID($A17, FIND("-",$A17, FIND("-",$A17) + 1) + 1, FIND("-", $A17, FIND("-", $A17, FIND("-", $A17) + 1) + 1) - FIND("-", $A17, FIND("-", $A17) + 1) - 1)</f>
        <v>0</v>
      </c>
      <c r="E17" s="60" t="str">
        <f t="shared" ref="E17:E54" si="3">MID($A17, FIND("-",$A17, FIND("-",$A17) + 2) + 1, FIND("-", $A17, FIND("-", $A17, FIND("-", $A17) + 2) + 2) - FIND("-", $A17, FIND("-", $A17) + 2) - 2)</f>
        <v/>
      </c>
      <c r="F17" s="63" t="str">
        <f t="shared" ref="F17:F53" si="4">RIGHT($A17, FIND("-", $A17) - 4)</f>
        <v>24</v>
      </c>
    </row>
    <row r="18" spans="1:6" ht="17.5" x14ac:dyDescent="0.45">
      <c r="A18" s="59" t="s">
        <v>123</v>
      </c>
      <c r="B18" s="63" t="str">
        <f t="shared" si="0"/>
        <v>20004</v>
      </c>
      <c r="C18" s="63" t="str">
        <f t="shared" si="1"/>
        <v>Monday</v>
      </c>
      <c r="D18" s="60" t="str">
        <f t="shared" si="2"/>
        <v>0</v>
      </c>
      <c r="E18" s="60" t="str">
        <f t="shared" si="3"/>
        <v/>
      </c>
      <c r="F18" s="63" t="str">
        <f t="shared" si="4"/>
        <v>24</v>
      </c>
    </row>
    <row r="19" spans="1:6" ht="17.5" x14ac:dyDescent="0.45">
      <c r="A19" s="59" t="s">
        <v>124</v>
      </c>
      <c r="B19" s="63" t="str">
        <f t="shared" si="0"/>
        <v>20006</v>
      </c>
      <c r="C19" s="63" t="str">
        <f t="shared" si="1"/>
        <v>Monday</v>
      </c>
      <c r="D19" s="60" t="str">
        <f t="shared" si="2"/>
        <v>0</v>
      </c>
      <c r="E19" s="60" t="str">
        <f t="shared" si="3"/>
        <v/>
      </c>
      <c r="F19" s="63" t="str">
        <f t="shared" si="4"/>
        <v>24</v>
      </c>
    </row>
    <row r="20" spans="1:6" ht="17.5" x14ac:dyDescent="0.45">
      <c r="A20" s="59" t="s">
        <v>125</v>
      </c>
      <c r="B20" s="63" t="str">
        <f t="shared" si="0"/>
        <v>20008</v>
      </c>
      <c r="C20" s="63" t="str">
        <f t="shared" si="1"/>
        <v>Monday</v>
      </c>
      <c r="D20" s="60" t="str">
        <f t="shared" si="2"/>
        <v>0</v>
      </c>
      <c r="E20" s="60" t="str">
        <f t="shared" si="3"/>
        <v/>
      </c>
      <c r="F20" s="63" t="str">
        <f t="shared" si="4"/>
        <v>24</v>
      </c>
    </row>
    <row r="21" spans="1:6" ht="17.5" x14ac:dyDescent="0.45">
      <c r="A21" s="59" t="s">
        <v>126</v>
      </c>
      <c r="B21" s="63" t="str">
        <f t="shared" si="0"/>
        <v>20010</v>
      </c>
      <c r="C21" s="63" t="str">
        <f t="shared" si="1"/>
        <v>Monday</v>
      </c>
      <c r="D21" s="60" t="str">
        <f t="shared" si="2"/>
        <v>0</v>
      </c>
      <c r="E21" s="60" t="str">
        <f t="shared" si="3"/>
        <v/>
      </c>
      <c r="F21" s="63" t="str">
        <f t="shared" si="4"/>
        <v>24</v>
      </c>
    </row>
    <row r="22" spans="1:6" ht="17.5" x14ac:dyDescent="0.45">
      <c r="A22" s="59" t="s">
        <v>127</v>
      </c>
      <c r="B22" s="63" t="str">
        <f t="shared" si="0"/>
        <v>20012</v>
      </c>
      <c r="C22" s="63" t="str">
        <f t="shared" si="1"/>
        <v>Monday</v>
      </c>
      <c r="D22" s="60" t="str">
        <f t="shared" si="2"/>
        <v>0</v>
      </c>
      <c r="E22" s="60" t="str">
        <f t="shared" si="3"/>
        <v/>
      </c>
      <c r="F22" s="63" t="str">
        <f t="shared" si="4"/>
        <v>24</v>
      </c>
    </row>
    <row r="23" spans="1:6" ht="17.5" x14ac:dyDescent="0.45">
      <c r="A23" s="59" t="s">
        <v>128</v>
      </c>
      <c r="B23" s="63" t="str">
        <f t="shared" si="0"/>
        <v>20014</v>
      </c>
      <c r="C23" s="63" t="str">
        <f t="shared" si="1"/>
        <v>Monday</v>
      </c>
      <c r="D23" s="60" t="str">
        <f t="shared" si="2"/>
        <v>0</v>
      </c>
      <c r="E23" s="60" t="str">
        <f t="shared" si="3"/>
        <v/>
      </c>
      <c r="F23" s="63" t="str">
        <f t="shared" si="4"/>
        <v>24</v>
      </c>
    </row>
    <row r="24" spans="1:6" ht="17.5" x14ac:dyDescent="0.45">
      <c r="A24" s="59" t="s">
        <v>129</v>
      </c>
      <c r="B24" s="63" t="str">
        <f t="shared" si="0"/>
        <v>20016</v>
      </c>
      <c r="C24" s="63" t="str">
        <f t="shared" si="1"/>
        <v>Monday</v>
      </c>
      <c r="D24" s="60" t="str">
        <f t="shared" si="2"/>
        <v>0</v>
      </c>
      <c r="E24" s="60" t="str">
        <f t="shared" si="3"/>
        <v/>
      </c>
      <c r="F24" s="63" t="str">
        <f t="shared" si="4"/>
        <v>24</v>
      </c>
    </row>
    <row r="25" spans="1:6" ht="17.5" x14ac:dyDescent="0.45">
      <c r="A25" s="59" t="s">
        <v>130</v>
      </c>
      <c r="B25" s="63" t="str">
        <f t="shared" si="0"/>
        <v>20018</v>
      </c>
      <c r="C25" s="63" t="str">
        <f t="shared" si="1"/>
        <v>Monday</v>
      </c>
      <c r="D25" s="60" t="str">
        <f t="shared" si="2"/>
        <v>0</v>
      </c>
      <c r="E25" s="60" t="str">
        <f t="shared" si="3"/>
        <v/>
      </c>
      <c r="F25" s="63" t="str">
        <f t="shared" si="4"/>
        <v>24</v>
      </c>
    </row>
    <row r="26" spans="1:6" ht="17.5" x14ac:dyDescent="0.45">
      <c r="A26" s="59" t="s">
        <v>131</v>
      </c>
      <c r="B26" s="63" t="str">
        <f t="shared" si="0"/>
        <v>20020</v>
      </c>
      <c r="C26" s="63" t="str">
        <f t="shared" si="1"/>
        <v>Monday</v>
      </c>
      <c r="D26" s="60" t="str">
        <f t="shared" si="2"/>
        <v>0</v>
      </c>
      <c r="E26" s="60" t="str">
        <f t="shared" si="3"/>
        <v/>
      </c>
      <c r="F26" s="63" t="str">
        <f t="shared" si="4"/>
        <v>24</v>
      </c>
    </row>
    <row r="27" spans="1:6" ht="17.5" x14ac:dyDescent="0.45">
      <c r="A27" s="59" t="s">
        <v>132</v>
      </c>
      <c r="B27" s="63" t="str">
        <f t="shared" si="0"/>
        <v>20022</v>
      </c>
      <c r="C27" s="63" t="str">
        <f t="shared" si="1"/>
        <v>Monday</v>
      </c>
      <c r="D27" s="60" t="str">
        <f t="shared" si="2"/>
        <v>0</v>
      </c>
      <c r="E27" s="60" t="str">
        <f t="shared" si="3"/>
        <v/>
      </c>
      <c r="F27" s="63" t="str">
        <f t="shared" si="4"/>
        <v>24</v>
      </c>
    </row>
    <row r="28" spans="1:6" ht="17.5" x14ac:dyDescent="0.45">
      <c r="A28" s="59" t="s">
        <v>133</v>
      </c>
      <c r="B28" s="63" t="str">
        <f t="shared" si="0"/>
        <v>20024</v>
      </c>
      <c r="C28" s="63" t="str">
        <f t="shared" si="1"/>
        <v>Monday</v>
      </c>
      <c r="D28" s="60" t="str">
        <f t="shared" si="2"/>
        <v>0</v>
      </c>
      <c r="E28" s="60" t="str">
        <f t="shared" si="3"/>
        <v/>
      </c>
      <c r="F28" s="63" t="str">
        <f t="shared" si="4"/>
        <v>24</v>
      </c>
    </row>
    <row r="29" spans="1:6" ht="17.5" x14ac:dyDescent="0.45">
      <c r="A29" s="59" t="s">
        <v>134</v>
      </c>
      <c r="B29" s="63" t="str">
        <f t="shared" si="0"/>
        <v>20026</v>
      </c>
      <c r="C29" s="63" t="str">
        <f t="shared" si="1"/>
        <v>Monday</v>
      </c>
      <c r="D29" s="60" t="str">
        <f t="shared" si="2"/>
        <v>0</v>
      </c>
      <c r="E29" s="60" t="str">
        <f t="shared" si="3"/>
        <v/>
      </c>
      <c r="F29" s="63" t="str">
        <f t="shared" si="4"/>
        <v>24</v>
      </c>
    </row>
    <row r="30" spans="1:6" ht="17.5" x14ac:dyDescent="0.45">
      <c r="A30" s="59" t="s">
        <v>135</v>
      </c>
      <c r="B30" s="63" t="str">
        <f t="shared" si="0"/>
        <v>20028</v>
      </c>
      <c r="C30" s="63" t="str">
        <f t="shared" si="1"/>
        <v>Monday</v>
      </c>
      <c r="D30" s="60" t="str">
        <f t="shared" si="2"/>
        <v>0</v>
      </c>
      <c r="E30" s="60" t="str">
        <f t="shared" si="3"/>
        <v/>
      </c>
      <c r="F30" s="63" t="str">
        <f t="shared" si="4"/>
        <v>24</v>
      </c>
    </row>
    <row r="31" spans="1:6" ht="17.5" x14ac:dyDescent="0.45">
      <c r="A31" s="59" t="s">
        <v>136</v>
      </c>
      <c r="B31" s="63" t="str">
        <f t="shared" si="0"/>
        <v>20030</v>
      </c>
      <c r="C31" s="63" t="str">
        <f t="shared" si="1"/>
        <v>Monday</v>
      </c>
      <c r="D31" s="60" t="str">
        <f t="shared" si="2"/>
        <v>0</v>
      </c>
      <c r="E31" s="60" t="str">
        <f t="shared" si="3"/>
        <v/>
      </c>
      <c r="F31" s="63" t="str">
        <f t="shared" si="4"/>
        <v>24</v>
      </c>
    </row>
    <row r="32" spans="1:6" ht="17.5" x14ac:dyDescent="0.45">
      <c r="A32" s="59" t="s">
        <v>137</v>
      </c>
      <c r="B32" s="63" t="str">
        <f t="shared" si="0"/>
        <v>20032</v>
      </c>
      <c r="C32" s="63" t="str">
        <f t="shared" si="1"/>
        <v>Monday</v>
      </c>
      <c r="D32" s="60" t="str">
        <f t="shared" si="2"/>
        <v>0</v>
      </c>
      <c r="E32" s="60" t="str">
        <f t="shared" si="3"/>
        <v/>
      </c>
      <c r="F32" s="63" t="str">
        <f t="shared" si="4"/>
        <v>24</v>
      </c>
    </row>
    <row r="33" spans="1:6" ht="17.5" x14ac:dyDescent="0.45">
      <c r="A33" s="59" t="s">
        <v>138</v>
      </c>
      <c r="B33" s="63" t="str">
        <f t="shared" si="0"/>
        <v>20034</v>
      </c>
      <c r="C33" s="63" t="str">
        <f t="shared" si="1"/>
        <v>Monday</v>
      </c>
      <c r="D33" s="60" t="str">
        <f t="shared" si="2"/>
        <v>0</v>
      </c>
      <c r="E33" s="60" t="str">
        <f t="shared" si="3"/>
        <v/>
      </c>
      <c r="F33" s="63" t="str">
        <f t="shared" si="4"/>
        <v>24</v>
      </c>
    </row>
    <row r="34" spans="1:6" ht="17.5" x14ac:dyDescent="0.45">
      <c r="A34" s="59" t="s">
        <v>139</v>
      </c>
      <c r="B34" s="63" t="str">
        <f t="shared" si="0"/>
        <v>20036</v>
      </c>
      <c r="C34" s="63" t="str">
        <f t="shared" si="1"/>
        <v>Monday</v>
      </c>
      <c r="D34" s="60" t="str">
        <f t="shared" si="2"/>
        <v>0</v>
      </c>
      <c r="E34" s="60" t="str">
        <f t="shared" si="3"/>
        <v/>
      </c>
      <c r="F34" s="63" t="str">
        <f t="shared" si="4"/>
        <v>24</v>
      </c>
    </row>
    <row r="35" spans="1:6" ht="17.5" x14ac:dyDescent="0.45">
      <c r="A35" s="59" t="s">
        <v>140</v>
      </c>
      <c r="B35" s="63" t="str">
        <f t="shared" si="0"/>
        <v>20038</v>
      </c>
      <c r="C35" s="63" t="str">
        <f t="shared" si="1"/>
        <v>Monday</v>
      </c>
      <c r="D35" s="60" t="str">
        <f t="shared" si="2"/>
        <v>0</v>
      </c>
      <c r="E35" s="60" t="str">
        <f t="shared" si="3"/>
        <v/>
      </c>
      <c r="F35" s="63" t="str">
        <f t="shared" si="4"/>
        <v>24</v>
      </c>
    </row>
    <row r="36" spans="1:6" ht="17.5" x14ac:dyDescent="0.45">
      <c r="A36" s="59" t="s">
        <v>141</v>
      </c>
      <c r="B36" s="63" t="str">
        <f t="shared" si="0"/>
        <v>20040</v>
      </c>
      <c r="C36" s="63" t="str">
        <f t="shared" si="1"/>
        <v>Monday</v>
      </c>
      <c r="D36" s="60" t="str">
        <f t="shared" si="2"/>
        <v>0</v>
      </c>
      <c r="E36" s="60" t="str">
        <f t="shared" si="3"/>
        <v/>
      </c>
      <c r="F36" s="63" t="str">
        <f t="shared" si="4"/>
        <v>24</v>
      </c>
    </row>
    <row r="37" spans="1:6" ht="17.5" x14ac:dyDescent="0.45">
      <c r="A37" s="59" t="s">
        <v>142</v>
      </c>
      <c r="B37" s="63" t="str">
        <f t="shared" si="0"/>
        <v>20042</v>
      </c>
      <c r="C37" s="63" t="str">
        <f t="shared" si="1"/>
        <v>Monday</v>
      </c>
      <c r="D37" s="60" t="str">
        <f t="shared" si="2"/>
        <v>0</v>
      </c>
      <c r="E37" s="60" t="str">
        <f t="shared" si="3"/>
        <v/>
      </c>
      <c r="F37" s="63" t="str">
        <f t="shared" si="4"/>
        <v>24</v>
      </c>
    </row>
    <row r="38" spans="1:6" ht="17.5" x14ac:dyDescent="0.45">
      <c r="A38" s="59" t="s">
        <v>143</v>
      </c>
      <c r="B38" s="63" t="str">
        <f t="shared" si="0"/>
        <v>20044</v>
      </c>
      <c r="C38" s="63" t="str">
        <f t="shared" si="1"/>
        <v>Monday</v>
      </c>
      <c r="D38" s="60" t="str">
        <f t="shared" si="2"/>
        <v>0</v>
      </c>
      <c r="E38" s="60" t="str">
        <f t="shared" si="3"/>
        <v/>
      </c>
      <c r="F38" s="63" t="str">
        <f t="shared" si="4"/>
        <v>24</v>
      </c>
    </row>
    <row r="39" spans="1:6" ht="17.5" x14ac:dyDescent="0.45">
      <c r="A39" s="59" t="s">
        <v>144</v>
      </c>
      <c r="B39" s="63" t="str">
        <f t="shared" si="0"/>
        <v>20046</v>
      </c>
      <c r="C39" s="63" t="str">
        <f t="shared" si="1"/>
        <v>Monday</v>
      </c>
      <c r="D39" s="60" t="str">
        <f t="shared" si="2"/>
        <v>0</v>
      </c>
      <c r="E39" s="60" t="str">
        <f t="shared" si="3"/>
        <v/>
      </c>
      <c r="F39" s="63" t="str">
        <f t="shared" si="4"/>
        <v>24</v>
      </c>
    </row>
    <row r="40" spans="1:6" ht="17.5" x14ac:dyDescent="0.45">
      <c r="A40" s="59" t="s">
        <v>145</v>
      </c>
      <c r="B40" s="63" t="str">
        <f t="shared" si="0"/>
        <v>20048</v>
      </c>
      <c r="C40" s="63" t="str">
        <f t="shared" si="1"/>
        <v>Monday</v>
      </c>
      <c r="D40" s="60" t="str">
        <f t="shared" si="2"/>
        <v>0</v>
      </c>
      <c r="E40" s="60" t="str">
        <f t="shared" si="3"/>
        <v/>
      </c>
      <c r="F40" s="63" t="str">
        <f t="shared" si="4"/>
        <v>24</v>
      </c>
    </row>
    <row r="41" spans="1:6" ht="17.5" x14ac:dyDescent="0.45">
      <c r="A41" s="59" t="s">
        <v>146</v>
      </c>
      <c r="B41" s="63" t="str">
        <f t="shared" si="0"/>
        <v>20050</v>
      </c>
      <c r="C41" s="63" t="str">
        <f t="shared" si="1"/>
        <v>Monday</v>
      </c>
      <c r="D41" s="60" t="str">
        <f t="shared" si="2"/>
        <v>0</v>
      </c>
      <c r="E41" s="60" t="str">
        <f t="shared" si="3"/>
        <v/>
      </c>
      <c r="F41" s="63" t="str">
        <f t="shared" si="4"/>
        <v>24</v>
      </c>
    </row>
    <row r="42" spans="1:6" ht="17.5" x14ac:dyDescent="0.45">
      <c r="A42" s="59" t="s">
        <v>147</v>
      </c>
      <c r="B42" s="63" t="str">
        <f t="shared" si="0"/>
        <v>20052</v>
      </c>
      <c r="C42" s="63" t="str">
        <f t="shared" si="1"/>
        <v>Monday</v>
      </c>
      <c r="D42" s="60" t="str">
        <f t="shared" si="2"/>
        <v>0</v>
      </c>
      <c r="E42" s="60" t="str">
        <f t="shared" si="3"/>
        <v/>
      </c>
      <c r="F42" s="63" t="str">
        <f t="shared" si="4"/>
        <v>24</v>
      </c>
    </row>
    <row r="43" spans="1:6" ht="17.5" x14ac:dyDescent="0.45">
      <c r="A43" s="59" t="s">
        <v>148</v>
      </c>
      <c r="B43" s="63" t="str">
        <f t="shared" si="0"/>
        <v>20054</v>
      </c>
      <c r="C43" s="63" t="str">
        <f t="shared" si="1"/>
        <v>Monday</v>
      </c>
      <c r="D43" s="60" t="str">
        <f t="shared" si="2"/>
        <v>0</v>
      </c>
      <c r="E43" s="60" t="str">
        <f t="shared" si="3"/>
        <v/>
      </c>
      <c r="F43" s="63" t="str">
        <f t="shared" si="4"/>
        <v>24</v>
      </c>
    </row>
    <row r="44" spans="1:6" ht="17.5" x14ac:dyDescent="0.45">
      <c r="A44" s="59" t="s">
        <v>149</v>
      </c>
      <c r="B44" s="63" t="str">
        <f t="shared" si="0"/>
        <v>20058</v>
      </c>
      <c r="C44" s="63" t="str">
        <f t="shared" si="1"/>
        <v>Monday</v>
      </c>
      <c r="D44" s="60" t="str">
        <f t="shared" si="2"/>
        <v>0</v>
      </c>
      <c r="E44" s="60" t="str">
        <f t="shared" si="3"/>
        <v/>
      </c>
      <c r="F44" s="63" t="str">
        <f t="shared" si="4"/>
        <v>24</v>
      </c>
    </row>
    <row r="45" spans="1:6" ht="17.5" x14ac:dyDescent="0.45">
      <c r="A45" s="59" t="s">
        <v>150</v>
      </c>
      <c r="B45" s="63" t="str">
        <f t="shared" si="0"/>
        <v>20060</v>
      </c>
      <c r="C45" s="63" t="str">
        <f t="shared" si="1"/>
        <v>Monday</v>
      </c>
      <c r="D45" s="60" t="str">
        <f t="shared" si="2"/>
        <v>0</v>
      </c>
      <c r="E45" s="60" t="str">
        <f t="shared" si="3"/>
        <v/>
      </c>
      <c r="F45" s="63" t="str">
        <f t="shared" si="4"/>
        <v>24</v>
      </c>
    </row>
    <row r="46" spans="1:6" ht="17.5" x14ac:dyDescent="0.45">
      <c r="A46" s="59" t="s">
        <v>112</v>
      </c>
      <c r="B46" s="63" t="str">
        <f t="shared" si="0"/>
        <v>21000</v>
      </c>
      <c r="C46" s="63" t="str">
        <f t="shared" si="1"/>
        <v>Monday</v>
      </c>
      <c r="D46" s="60" t="str">
        <f t="shared" si="2"/>
        <v>0</v>
      </c>
      <c r="E46" s="60" t="str">
        <f t="shared" si="3"/>
        <v/>
      </c>
      <c r="F46" s="63" t="str">
        <f t="shared" si="4"/>
        <v>24</v>
      </c>
    </row>
    <row r="47" spans="1:6" ht="17.5" x14ac:dyDescent="0.45">
      <c r="A47" s="59" t="s">
        <v>113</v>
      </c>
      <c r="B47" s="63" t="str">
        <f t="shared" si="0"/>
        <v>21002</v>
      </c>
      <c r="C47" s="63" t="str">
        <f t="shared" si="1"/>
        <v>Monday</v>
      </c>
      <c r="D47" s="60" t="str">
        <f t="shared" si="2"/>
        <v>0</v>
      </c>
      <c r="E47" s="60" t="str">
        <f t="shared" si="3"/>
        <v/>
      </c>
      <c r="F47" s="63" t="str">
        <f t="shared" si="4"/>
        <v>24</v>
      </c>
    </row>
    <row r="48" spans="1:6" ht="17.5" x14ac:dyDescent="0.45">
      <c r="A48" s="59" t="s">
        <v>114</v>
      </c>
      <c r="B48" s="63" t="str">
        <f t="shared" si="0"/>
        <v>21004</v>
      </c>
      <c r="C48" s="63" t="str">
        <f t="shared" si="1"/>
        <v>Monday</v>
      </c>
      <c r="D48" s="60" t="str">
        <f t="shared" si="2"/>
        <v>0</v>
      </c>
      <c r="E48" s="60" t="str">
        <f t="shared" si="3"/>
        <v/>
      </c>
      <c r="F48" s="63" t="str">
        <f t="shared" si="4"/>
        <v>24</v>
      </c>
    </row>
    <row r="49" spans="1:6" ht="17.5" x14ac:dyDescent="0.45">
      <c r="A49" s="59" t="s">
        <v>115</v>
      </c>
      <c r="B49" s="63" t="str">
        <f t="shared" si="0"/>
        <v>21006</v>
      </c>
      <c r="C49" s="63" t="str">
        <f t="shared" si="1"/>
        <v>Monday</v>
      </c>
      <c r="D49" s="60" t="str">
        <f t="shared" si="2"/>
        <v>0</v>
      </c>
      <c r="E49" s="60" t="str">
        <f t="shared" si="3"/>
        <v/>
      </c>
      <c r="F49" s="63" t="str">
        <f t="shared" si="4"/>
        <v>24</v>
      </c>
    </row>
    <row r="50" spans="1:6" ht="17.5" x14ac:dyDescent="0.45">
      <c r="A50" s="59" t="s">
        <v>116</v>
      </c>
      <c r="B50" s="63" t="str">
        <f t="shared" si="0"/>
        <v>21008</v>
      </c>
      <c r="C50" s="63" t="str">
        <f t="shared" si="1"/>
        <v>Monday</v>
      </c>
      <c r="D50" s="60" t="str">
        <f t="shared" si="2"/>
        <v>0</v>
      </c>
      <c r="E50" s="60" t="str">
        <f t="shared" si="3"/>
        <v/>
      </c>
      <c r="F50" s="63" t="str">
        <f t="shared" si="4"/>
        <v>24</v>
      </c>
    </row>
    <row r="51" spans="1:6" ht="17.5" x14ac:dyDescent="0.45">
      <c r="A51" s="59" t="s">
        <v>117</v>
      </c>
      <c r="B51" s="63" t="str">
        <f t="shared" si="0"/>
        <v>21010</v>
      </c>
      <c r="C51" s="63" t="str">
        <f t="shared" si="1"/>
        <v>Monday</v>
      </c>
      <c r="D51" s="60" t="str">
        <f t="shared" si="2"/>
        <v>0</v>
      </c>
      <c r="E51" s="60" t="str">
        <f t="shared" si="3"/>
        <v/>
      </c>
      <c r="F51" s="63" t="str">
        <f t="shared" si="4"/>
        <v>24</v>
      </c>
    </row>
    <row r="52" spans="1:6" ht="17.5" x14ac:dyDescent="0.45">
      <c r="A52" s="59" t="s">
        <v>118</v>
      </c>
      <c r="B52" s="63" t="str">
        <f t="shared" si="0"/>
        <v>21012</v>
      </c>
      <c r="C52" s="63" t="str">
        <f t="shared" si="1"/>
        <v>Monday</v>
      </c>
      <c r="D52" s="60" t="str">
        <f t="shared" si="2"/>
        <v>0</v>
      </c>
      <c r="E52" s="60" t="str">
        <f t="shared" si="3"/>
        <v/>
      </c>
      <c r="F52" s="63" t="str">
        <f t="shared" si="4"/>
        <v>24</v>
      </c>
    </row>
    <row r="53" spans="1:6" ht="17.5" x14ac:dyDescent="0.45">
      <c r="A53" s="59" t="s">
        <v>119</v>
      </c>
      <c r="B53" s="63" t="str">
        <f t="shared" si="0"/>
        <v>21014</v>
      </c>
      <c r="C53" s="63" t="str">
        <f t="shared" si="1"/>
        <v>Monday</v>
      </c>
      <c r="D53" s="60" t="str">
        <f t="shared" si="2"/>
        <v>0</v>
      </c>
      <c r="E53" s="60" t="str">
        <f t="shared" si="3"/>
        <v/>
      </c>
      <c r="F53" s="63" t="str">
        <f t="shared" si="4"/>
        <v>24</v>
      </c>
    </row>
    <row r="54" spans="1:6" ht="17.5" x14ac:dyDescent="0.45">
      <c r="A54" s="61" t="s">
        <v>120</v>
      </c>
      <c r="B54" s="63" t="str">
        <f t="shared" si="0"/>
        <v>21016</v>
      </c>
      <c r="C54" s="63" t="str">
        <f t="shared" si="1"/>
        <v>Monday</v>
      </c>
      <c r="D54" s="60" t="str">
        <f t="shared" si="2"/>
        <v>0</v>
      </c>
      <c r="E54" s="60" t="str">
        <f t="shared" si="3"/>
        <v/>
      </c>
      <c r="F54" s="63" t="str">
        <f>RIGHT($A54, FIND("-", $A54) - 4)</f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zoomScaleNormal="100" workbookViewId="0">
      <selection activeCell="E12" sqref="E12"/>
    </sheetView>
  </sheetViews>
  <sheetFormatPr defaultColWidth="11" defaultRowHeight="13" x14ac:dyDescent="0.3"/>
  <cols>
    <col min="1" max="1" width="28.19921875" style="2" bestFit="1" customWidth="1"/>
    <col min="2" max="2" width="11.19921875" style="2" customWidth="1"/>
    <col min="3" max="3" width="9.19921875" style="2" customWidth="1"/>
    <col min="4" max="4" width="15.3984375" style="2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4" ht="21" x14ac:dyDescent="0.5">
      <c r="A1" s="38" t="s">
        <v>85</v>
      </c>
      <c r="B1" s="37" t="s">
        <v>167</v>
      </c>
    </row>
    <row r="2" spans="1:4" ht="18.5" x14ac:dyDescent="0.45">
      <c r="B2" s="36" t="s">
        <v>166</v>
      </c>
    </row>
    <row r="5" spans="1:4" ht="14.5" x14ac:dyDescent="0.35">
      <c r="B5" s="1" t="s">
        <v>151</v>
      </c>
    </row>
    <row r="6" spans="1:4" ht="14.5" x14ac:dyDescent="0.35">
      <c r="A6" s="3" t="s">
        <v>53</v>
      </c>
      <c r="B6" s="1"/>
    </row>
    <row r="7" spans="1:4" ht="14.5" x14ac:dyDescent="0.35">
      <c r="A7" s="3" t="s">
        <v>153</v>
      </c>
      <c r="B7" s="1" t="s">
        <v>178</v>
      </c>
    </row>
    <row r="10" spans="1:4" ht="23.5" x14ac:dyDescent="0.55000000000000004">
      <c r="A10" s="16" t="s">
        <v>162</v>
      </c>
    </row>
    <row r="11" spans="1:4" ht="14" x14ac:dyDescent="0.3">
      <c r="A11" s="47" t="s">
        <v>86</v>
      </c>
      <c r="B11" s="48" t="s">
        <v>87</v>
      </c>
      <c r="C11" s="49" t="s">
        <v>88</v>
      </c>
      <c r="D11" s="49" t="s">
        <v>88</v>
      </c>
    </row>
    <row r="12" spans="1:4" x14ac:dyDescent="0.3">
      <c r="A12" s="50">
        <v>44927</v>
      </c>
      <c r="B12" s="51" t="s">
        <v>59</v>
      </c>
      <c r="C12" s="52">
        <v>200</v>
      </c>
      <c r="D12" s="52">
        <f>IF(ISNA(C12), 20, C12)</f>
        <v>200</v>
      </c>
    </row>
    <row r="13" spans="1:4" x14ac:dyDescent="0.3">
      <c r="A13" s="50">
        <v>44928</v>
      </c>
      <c r="B13" s="51" t="s">
        <v>60</v>
      </c>
      <c r="C13" s="52" t="e">
        <v>#N/A</v>
      </c>
      <c r="D13" s="52">
        <f t="shared" ref="D13:D21" si="0">IF(ISNA(C13), 20, C13)</f>
        <v>20</v>
      </c>
    </row>
    <row r="14" spans="1:4" x14ac:dyDescent="0.3">
      <c r="A14" s="50">
        <v>44929</v>
      </c>
      <c r="B14" s="51" t="s">
        <v>61</v>
      </c>
      <c r="C14" s="52">
        <v>50</v>
      </c>
      <c r="D14" s="52">
        <f t="shared" si="0"/>
        <v>50</v>
      </c>
    </row>
    <row r="15" spans="1:4" x14ac:dyDescent="0.3">
      <c r="A15" s="50">
        <v>44930</v>
      </c>
      <c r="B15" s="51" t="s">
        <v>62</v>
      </c>
      <c r="C15" s="52" t="e">
        <v>#N/A</v>
      </c>
      <c r="D15" s="52">
        <f t="shared" si="0"/>
        <v>20</v>
      </c>
    </row>
    <row r="16" spans="1:4" x14ac:dyDescent="0.3">
      <c r="A16" s="50">
        <v>44931</v>
      </c>
      <c r="B16" s="51" t="s">
        <v>63</v>
      </c>
      <c r="C16" s="52">
        <v>10</v>
      </c>
      <c r="D16" s="52">
        <f t="shared" si="0"/>
        <v>10</v>
      </c>
    </row>
    <row r="17" spans="1:4" x14ac:dyDescent="0.3">
      <c r="A17" s="50">
        <v>44932</v>
      </c>
      <c r="B17" s="51" t="s">
        <v>154</v>
      </c>
      <c r="C17" s="52">
        <v>150</v>
      </c>
      <c r="D17" s="52">
        <f t="shared" si="0"/>
        <v>150</v>
      </c>
    </row>
    <row r="18" spans="1:4" x14ac:dyDescent="0.3">
      <c r="A18" s="50">
        <v>44933</v>
      </c>
      <c r="B18" s="51" t="s">
        <v>155</v>
      </c>
      <c r="C18" s="52">
        <v>80</v>
      </c>
      <c r="D18" s="52">
        <f t="shared" si="0"/>
        <v>80</v>
      </c>
    </row>
    <row r="19" spans="1:4" x14ac:dyDescent="0.3">
      <c r="A19" s="50">
        <v>44934</v>
      </c>
      <c r="B19" s="51" t="s">
        <v>156</v>
      </c>
      <c r="C19" s="52" t="e">
        <v>#N/A</v>
      </c>
      <c r="D19" s="52">
        <f t="shared" si="0"/>
        <v>20</v>
      </c>
    </row>
    <row r="20" spans="1:4" x14ac:dyDescent="0.3">
      <c r="A20" s="50">
        <v>44935</v>
      </c>
      <c r="B20" s="51" t="s">
        <v>157</v>
      </c>
      <c r="C20" s="52">
        <v>30</v>
      </c>
      <c r="D20" s="52">
        <f t="shared" si="0"/>
        <v>30</v>
      </c>
    </row>
    <row r="21" spans="1:4" x14ac:dyDescent="0.3">
      <c r="A21" s="50">
        <v>44936</v>
      </c>
      <c r="B21" s="51" t="s">
        <v>158</v>
      </c>
      <c r="C21" s="52" t="e">
        <v>#N/A</v>
      </c>
      <c r="D21" s="52">
        <f t="shared" si="0"/>
        <v>20</v>
      </c>
    </row>
    <row r="22" spans="1:4" x14ac:dyDescent="0.3">
      <c r="A22" s="53"/>
      <c r="B22" s="53" t="s">
        <v>159</v>
      </c>
      <c r="C22" s="54" t="e">
        <f>SUM(C12:C21)</f>
        <v>#N/A</v>
      </c>
      <c r="D22" s="54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opLeftCell="A8" zoomScaleNormal="10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38" t="s">
        <v>98</v>
      </c>
      <c r="B1" s="37" t="s">
        <v>175</v>
      </c>
    </row>
    <row r="3" spans="1:14" ht="14.5" x14ac:dyDescent="0.35">
      <c r="B3" s="1" t="s">
        <v>151</v>
      </c>
    </row>
    <row r="4" spans="1:14" ht="18.5" x14ac:dyDescent="0.45">
      <c r="A4" s="39" t="s">
        <v>53</v>
      </c>
      <c r="B4" s="1"/>
    </row>
    <row r="5" spans="1:14" ht="18.5" x14ac:dyDescent="0.45">
      <c r="A5" s="39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6" t="s">
        <v>162</v>
      </c>
      <c r="M8" s="16" t="s">
        <v>163</v>
      </c>
    </row>
    <row r="9" spans="1:14" ht="14.5" x14ac:dyDescent="0.3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5" x14ac:dyDescent="0.3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1">
        <v>10100</v>
      </c>
      <c r="N10" s="11" t="s">
        <v>89</v>
      </c>
    </row>
    <row r="11" spans="1:14" ht="14.5" x14ac:dyDescent="0.3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1">
        <v>10102</v>
      </c>
      <c r="N11" s="11" t="s">
        <v>90</v>
      </c>
    </row>
    <row r="12" spans="1:14" ht="14.5" x14ac:dyDescent="0.3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1">
        <v>10104</v>
      </c>
      <c r="N12" s="11" t="s">
        <v>91</v>
      </c>
    </row>
    <row r="13" spans="1:14" ht="14.5" x14ac:dyDescent="0.3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1">
        <v>10106</v>
      </c>
      <c r="N13" s="11" t="s">
        <v>92</v>
      </c>
    </row>
    <row r="14" spans="1:14" ht="14.5" x14ac:dyDescent="0.3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1">
        <v>10108</v>
      </c>
      <c r="N14" s="11" t="s">
        <v>93</v>
      </c>
    </row>
    <row r="15" spans="1:14" ht="14.5" x14ac:dyDescent="0.3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1">
        <v>10110</v>
      </c>
      <c r="N15" s="11" t="s">
        <v>94</v>
      </c>
    </row>
    <row r="16" spans="1:14" ht="14.5" x14ac:dyDescent="0.3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1">
        <v>10112</v>
      </c>
      <c r="N16" s="11" t="s">
        <v>95</v>
      </c>
    </row>
    <row r="17" spans="1:14" ht="14.5" x14ac:dyDescent="0.3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1">
        <v>10114</v>
      </c>
      <c r="N17" s="11" t="s">
        <v>96</v>
      </c>
    </row>
    <row r="18" spans="1:14" ht="14.5" x14ac:dyDescent="0.3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2">
        <v>10116</v>
      </c>
      <c r="N18" s="12" t="s">
        <v>97</v>
      </c>
    </row>
    <row r="21" spans="1:14" ht="23.5" x14ac:dyDescent="0.55000000000000004">
      <c r="A21" s="16" t="s">
        <v>168</v>
      </c>
    </row>
    <row r="22" spans="1:14" ht="14.5" x14ac:dyDescent="0.35">
      <c r="A22" s="13" t="s">
        <v>100</v>
      </c>
      <c r="B22" s="15" t="s">
        <v>101</v>
      </c>
      <c r="C22" s="14" t="s">
        <v>102</v>
      </c>
    </row>
    <row r="23" spans="1:14" ht="14.5" x14ac:dyDescent="0.35">
      <c r="A23" s="7">
        <v>10100</v>
      </c>
      <c r="B23" s="11">
        <v>10102</v>
      </c>
      <c r="C23" s="40"/>
    </row>
    <row r="24" spans="1:14" ht="14.5" x14ac:dyDescent="0.35">
      <c r="A24" s="7">
        <v>10100</v>
      </c>
      <c r="B24" s="11">
        <v>10104</v>
      </c>
      <c r="C24" s="40"/>
    </row>
    <row r="25" spans="1:14" ht="14.5" x14ac:dyDescent="0.35">
      <c r="A25" s="7">
        <v>10108</v>
      </c>
      <c r="B25" s="11">
        <v>10102</v>
      </c>
      <c r="C25" s="40"/>
    </row>
    <row r="26" spans="1:14" ht="14.5" x14ac:dyDescent="0.35">
      <c r="A26" s="7">
        <v>10100</v>
      </c>
      <c r="B26" s="11">
        <v>10106</v>
      </c>
      <c r="C26" s="40"/>
    </row>
    <row r="27" spans="1:14" ht="14.5" x14ac:dyDescent="0.35">
      <c r="A27" s="7">
        <v>10108</v>
      </c>
      <c r="B27" s="11">
        <v>10110</v>
      </c>
      <c r="C27" s="40"/>
    </row>
    <row r="28" spans="1:14" ht="14.5" x14ac:dyDescent="0.35">
      <c r="A28" s="7">
        <v>10102</v>
      </c>
      <c r="B28" s="11">
        <v>10104</v>
      </c>
      <c r="C28" s="40"/>
    </row>
    <row r="29" spans="1:14" ht="14.5" x14ac:dyDescent="0.35">
      <c r="A29" s="7">
        <v>10106</v>
      </c>
      <c r="B29" s="11">
        <v>10108</v>
      </c>
      <c r="C29" s="40"/>
    </row>
    <row r="30" spans="1:14" ht="14.5" x14ac:dyDescent="0.35">
      <c r="A30" s="7">
        <v>10102</v>
      </c>
      <c r="B30" s="11">
        <v>10106</v>
      </c>
      <c r="C30" s="40"/>
    </row>
    <row r="31" spans="1:14" ht="14.5" x14ac:dyDescent="0.35">
      <c r="A31" s="7">
        <v>10110</v>
      </c>
      <c r="B31" s="11">
        <v>10114</v>
      </c>
      <c r="C31" s="40"/>
    </row>
    <row r="32" spans="1:14" ht="14.5" x14ac:dyDescent="0.35">
      <c r="A32" s="7">
        <v>10104</v>
      </c>
      <c r="B32" s="11">
        <v>10106</v>
      </c>
      <c r="C32" s="40"/>
    </row>
    <row r="33" spans="1:3" ht="14.5" x14ac:dyDescent="0.35">
      <c r="A33" s="7">
        <v>10110</v>
      </c>
      <c r="B33" s="11">
        <v>10112</v>
      </c>
      <c r="C33" s="40"/>
    </row>
    <row r="34" spans="1:3" ht="14.5" x14ac:dyDescent="0.35">
      <c r="A34" s="7">
        <v>10100</v>
      </c>
      <c r="B34" s="11">
        <v>10114</v>
      </c>
      <c r="C34" s="40"/>
    </row>
    <row r="35" spans="1:3" ht="14.5" x14ac:dyDescent="0.35">
      <c r="A35" s="9">
        <v>10112</v>
      </c>
      <c r="B35" s="12">
        <v>10116</v>
      </c>
      <c r="C35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Porter User</cp:lastModifiedBy>
  <dcterms:created xsi:type="dcterms:W3CDTF">2015-02-10T17:33:11Z</dcterms:created>
  <dcterms:modified xsi:type="dcterms:W3CDTF">2023-12-08T10:29:48Z</dcterms:modified>
</cp:coreProperties>
</file>